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filterPrivacy="1" defaultThemeVersion="124226"/>
  <xr:revisionPtr revIDLastSave="0" documentId="13_ncr:1_{FF6FBDCE-3CED-4994-AFE3-0C07427461C0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0" i="1" l="1"/>
  <c r="H61" i="1"/>
  <c r="H62" i="1"/>
  <c r="H63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D60" i="1"/>
  <c r="E60" i="1"/>
  <c r="D61" i="1"/>
  <c r="E61" i="1"/>
  <c r="D62" i="1"/>
  <c r="E62" i="1"/>
  <c r="D63" i="1"/>
  <c r="E63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</calcChain>
</file>

<file path=xl/sharedStrings.xml><?xml version="1.0" encoding="utf-8"?>
<sst xmlns="http://schemas.openxmlformats.org/spreadsheetml/2006/main" count="6" uniqueCount="6">
  <si>
    <t>year</t>
  </si>
  <si>
    <t>frac</t>
  </si>
  <si>
    <t>levEx1</t>
  </si>
  <si>
    <t>change</t>
  </si>
  <si>
    <t>zscore</t>
  </si>
  <si>
    <t>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</si>
</sst>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26" workbookViewId="0">
      <selection activeCell="A60" sqref="A60:A63"/>
    </sheetView>
  </sheetViews>
  <sheetFormatPr defaultRowHeight="14.25" x14ac:dyDescent="0.45"/>
  <cols>
    <col min="8" max="8" width="9.06640625" style="1"/>
  </cols>
  <sheetData>
    <row r="1" spans="1:8" x14ac:dyDescent="0.45">
      <c r="A1" t="s">
        <v>0</v>
      </c>
      <c r="B1" t="s">
        <v>1</v>
      </c>
      <c r="C1" t="s">
        <v>2</v>
      </c>
      <c r="D1" s="2" t="s">
        <v>3</v>
      </c>
      <c r="E1" s="2"/>
      <c r="F1" s="2" t="s">
        <v>4</v>
      </c>
      <c r="G1" s="2"/>
      <c r="H1" s="1" t="s">
        <v>5</v>
      </c>
    </row>
    <row r="2" spans="1:8" x14ac:dyDescent="0.45">
      <c r="A2">
        <v>1960</v>
      </c>
      <c r="B2">
        <v>15.023474178403756</v>
      </c>
      <c r="C2">
        <v>33.26326586630838</v>
      </c>
    </row>
    <row r="3" spans="1:8" x14ac:dyDescent="0.45">
      <c r="A3">
        <v>1961</v>
      </c>
      <c r="B3">
        <v>12.653061224489795</v>
      </c>
      <c r="C3">
        <v>24.776161066331696</v>
      </c>
      <c r="D3">
        <f>B3-B2</f>
        <v>-2.3704129539139611</v>
      </c>
      <c r="E3">
        <f>C3-C2</f>
        <v>-8.4871047999766844</v>
      </c>
      <c r="F3">
        <v>-0.52286721605418096</v>
      </c>
      <c r="G3">
        <v>-1.63109654831991</v>
      </c>
      <c r="H3" s="1">
        <f>(0.0459*F3-0.0783*G3)*100</f>
        <v>10.371525451656204</v>
      </c>
    </row>
    <row r="4" spans="1:8" x14ac:dyDescent="0.45">
      <c r="A4">
        <v>1962</v>
      </c>
      <c r="B4">
        <v>9.0909090909090917</v>
      </c>
      <c r="C4">
        <v>35.801330567833602</v>
      </c>
      <c r="D4">
        <f t="shared" ref="D4:D59" si="0">B4-B3</f>
        <v>-3.5621521335807032</v>
      </c>
      <c r="E4">
        <f t="shared" ref="E4:E59" si="1">C4-C3</f>
        <v>11.025169501501907</v>
      </c>
      <c r="F4">
        <v>-0.78931399841939998</v>
      </c>
      <c r="G4">
        <v>1.42631878997644</v>
      </c>
      <c r="H4" s="1">
        <f t="shared" ref="H4:H63" si="2">(0.0459*F4-0.0783*G4)*100</f>
        <v>-14.791027378260571</v>
      </c>
    </row>
    <row r="5" spans="1:8" x14ac:dyDescent="0.45">
      <c r="A5">
        <v>1963</v>
      </c>
      <c r="B5">
        <v>11.139896373056994</v>
      </c>
      <c r="C5">
        <v>43.959177251087738</v>
      </c>
      <c r="D5">
        <f t="shared" si="0"/>
        <v>2.0489872821479018</v>
      </c>
      <c r="E5">
        <f t="shared" si="1"/>
        <v>8.1578466832541352</v>
      </c>
      <c r="F5">
        <v>0.46521389483645098</v>
      </c>
      <c r="G5">
        <v>0.97703252914609995</v>
      </c>
      <c r="H5" s="1">
        <f t="shared" si="2"/>
        <v>-5.5148329259146518</v>
      </c>
    </row>
    <row r="6" spans="1:8" s="1" customFormat="1" x14ac:dyDescent="0.45">
      <c r="A6" s="1">
        <v>1964</v>
      </c>
      <c r="B6" s="1">
        <v>10.730088495575222</v>
      </c>
      <c r="C6" s="1">
        <v>45.136568439950629</v>
      </c>
      <c r="D6" s="1">
        <f t="shared" si="0"/>
        <v>-0.4098078774817715</v>
      </c>
      <c r="E6" s="1">
        <f t="shared" si="1"/>
        <v>1.1773911888628916</v>
      </c>
      <c r="F6" s="1">
        <v>-8.4518856763381098E-2</v>
      </c>
      <c r="G6" s="1">
        <v>-0.116748306830085</v>
      </c>
      <c r="H6" s="1">
        <f t="shared" si="2"/>
        <v>0.5261976899356462</v>
      </c>
    </row>
    <row r="7" spans="1:8" x14ac:dyDescent="0.45">
      <c r="A7">
        <v>1965</v>
      </c>
      <c r="B7">
        <v>14.572864321608039</v>
      </c>
      <c r="C7">
        <v>50.753880391123637</v>
      </c>
      <c r="D7">
        <f t="shared" si="0"/>
        <v>3.8427758260328169</v>
      </c>
      <c r="E7">
        <f t="shared" si="1"/>
        <v>5.6173119511730079</v>
      </c>
      <c r="F7">
        <v>0.86626573051780498</v>
      </c>
      <c r="G7">
        <v>0.57895131433397395</v>
      </c>
      <c r="H7" s="1">
        <f t="shared" si="2"/>
        <v>-0.55702908815829022</v>
      </c>
    </row>
    <row r="8" spans="1:8" x14ac:dyDescent="0.45">
      <c r="A8">
        <v>1966</v>
      </c>
      <c r="B8">
        <v>17.232142857142858</v>
      </c>
      <c r="C8">
        <v>50.645407194172542</v>
      </c>
      <c r="D8">
        <f t="shared" si="0"/>
        <v>2.6592785355348187</v>
      </c>
      <c r="E8">
        <f t="shared" si="1"/>
        <v>-0.10847319695109547</v>
      </c>
      <c r="F8">
        <v>0.60166165426476403</v>
      </c>
      <c r="G8">
        <v>-0.31823284093820903</v>
      </c>
      <c r="H8" s="1">
        <f t="shared" si="2"/>
        <v>5.2533901376214436</v>
      </c>
    </row>
    <row r="9" spans="1:8" x14ac:dyDescent="0.45">
      <c r="A9">
        <v>1967</v>
      </c>
      <c r="B9">
        <v>22.747415066469721</v>
      </c>
      <c r="C9">
        <v>55.172807346875487</v>
      </c>
      <c r="D9">
        <f t="shared" si="0"/>
        <v>5.5152722093268629</v>
      </c>
      <c r="E9">
        <f t="shared" si="1"/>
        <v>4.5274001527029455</v>
      </c>
      <c r="F9">
        <v>1.24019929521593</v>
      </c>
      <c r="G9">
        <v>0.40817096359877902</v>
      </c>
      <c r="H9" s="1">
        <f t="shared" si="2"/>
        <v>2.4965361200626797</v>
      </c>
    </row>
    <row r="10" spans="1:8" x14ac:dyDescent="0.45">
      <c r="A10">
        <v>1968</v>
      </c>
      <c r="B10">
        <v>32.963988919667592</v>
      </c>
      <c r="C10">
        <v>59.225948989711696</v>
      </c>
      <c r="D10">
        <f t="shared" si="0"/>
        <v>10.216573853197872</v>
      </c>
      <c r="E10">
        <f t="shared" si="1"/>
        <v>4.0531416428362093</v>
      </c>
      <c r="F10">
        <v>2.2913073868142702</v>
      </c>
      <c r="G10">
        <v>0.33385849645641302</v>
      </c>
      <c r="H10" s="1">
        <f t="shared" si="2"/>
        <v>7.9029888782237876</v>
      </c>
    </row>
    <row r="11" spans="1:8" x14ac:dyDescent="0.45">
      <c r="A11">
        <v>1969</v>
      </c>
      <c r="B11">
        <v>31.635900700190962</v>
      </c>
      <c r="C11">
        <v>62.413212693913223</v>
      </c>
      <c r="D11">
        <f t="shared" si="0"/>
        <v>-1.3280882194766299</v>
      </c>
      <c r="E11">
        <f t="shared" si="1"/>
        <v>3.187263704201527</v>
      </c>
      <c r="F11">
        <v>-0.28982623151557602</v>
      </c>
      <c r="G11">
        <v>0.198182436808613</v>
      </c>
      <c r="H11" s="1">
        <f t="shared" si="2"/>
        <v>-2.8820708828679336</v>
      </c>
    </row>
    <row r="12" spans="1:8" x14ac:dyDescent="0.45">
      <c r="A12">
        <v>1970</v>
      </c>
      <c r="B12">
        <v>21.682464454976301</v>
      </c>
      <c r="C12">
        <v>67.444906936583166</v>
      </c>
      <c r="D12">
        <f t="shared" si="0"/>
        <v>-9.953436245214661</v>
      </c>
      <c r="E12">
        <f t="shared" si="1"/>
        <v>5.0316942426699427</v>
      </c>
      <c r="F12">
        <v>-2.2182651608355801</v>
      </c>
      <c r="G12">
        <v>0.48718976284650101</v>
      </c>
      <c r="H12" s="1">
        <f t="shared" si="2"/>
        <v>-13.996532931323417</v>
      </c>
    </row>
    <row r="13" spans="1:8" x14ac:dyDescent="0.45">
      <c r="A13">
        <v>1971</v>
      </c>
      <c r="B13">
        <v>12.213175425610659</v>
      </c>
      <c r="C13">
        <v>64.915129133114718</v>
      </c>
      <c r="D13">
        <f t="shared" si="0"/>
        <v>-9.4692890293656422</v>
      </c>
      <c r="E13">
        <f t="shared" si="1"/>
        <v>-2.5297778034684484</v>
      </c>
      <c r="F13">
        <v>-2.1100204458348699</v>
      </c>
      <c r="G13">
        <v>-0.69763166074016303</v>
      </c>
      <c r="H13" s="1">
        <f t="shared" si="2"/>
        <v>-4.2225379427865768</v>
      </c>
    </row>
    <row r="14" spans="1:8" x14ac:dyDescent="0.45">
      <c r="A14">
        <v>1972</v>
      </c>
      <c r="B14">
        <v>12.192262602579133</v>
      </c>
      <c r="C14">
        <v>64.241487365128194</v>
      </c>
      <c r="D14">
        <f t="shared" si="0"/>
        <v>-2.0912823031526528E-2</v>
      </c>
      <c r="E14">
        <f t="shared" si="1"/>
        <v>-0.67364176798652409</v>
      </c>
      <c r="F14">
        <v>2.4295607721137201E-3</v>
      </c>
      <c r="G14">
        <v>-0.40679017829064801</v>
      </c>
      <c r="H14" s="1">
        <f t="shared" si="2"/>
        <v>3.1963187799597752</v>
      </c>
    </row>
    <row r="15" spans="1:8" x14ac:dyDescent="0.45">
      <c r="A15">
        <v>1973</v>
      </c>
      <c r="B15">
        <v>10.682386566630941</v>
      </c>
      <c r="C15">
        <v>73.125494412605804</v>
      </c>
      <c r="D15">
        <f t="shared" si="0"/>
        <v>-1.5098760359481922</v>
      </c>
      <c r="E15">
        <f t="shared" si="1"/>
        <v>8.8840070474776098</v>
      </c>
      <c r="F15">
        <v>-0.33047000636641799</v>
      </c>
      <c r="G15">
        <v>1.0908159764686101</v>
      </c>
      <c r="H15" s="1">
        <f t="shared" si="2"/>
        <v>-10.057946424971075</v>
      </c>
    </row>
    <row r="16" spans="1:8" x14ac:dyDescent="0.45">
      <c r="A16">
        <v>1974</v>
      </c>
      <c r="B16">
        <v>7.40620957309185</v>
      </c>
      <c r="C16">
        <v>75.94810274412103</v>
      </c>
      <c r="D16">
        <f t="shared" si="0"/>
        <v>-3.2761769935390905</v>
      </c>
      <c r="E16">
        <f t="shared" si="1"/>
        <v>2.8226083315152266</v>
      </c>
      <c r="F16">
        <v>-0.72537621977773203</v>
      </c>
      <c r="G16">
        <v>0.14104389363299999</v>
      </c>
      <c r="H16" s="1">
        <f t="shared" si="2"/>
        <v>-4.4338505359261804</v>
      </c>
    </row>
    <row r="17" spans="1:8" x14ac:dyDescent="0.45">
      <c r="A17">
        <v>1975</v>
      </c>
      <c r="B17">
        <v>7.2138505931388259</v>
      </c>
      <c r="C17">
        <v>72.071829759378673</v>
      </c>
      <c r="D17">
        <f t="shared" si="0"/>
        <v>-0.19235897995302409</v>
      </c>
      <c r="E17">
        <f t="shared" si="1"/>
        <v>-3.8762729847423572</v>
      </c>
      <c r="F17">
        <v>-3.5902045378094598E-2</v>
      </c>
      <c r="G17">
        <v>-0.90861654948728998</v>
      </c>
      <c r="H17" s="1">
        <f t="shared" si="2"/>
        <v>6.9496771942000253</v>
      </c>
    </row>
    <row r="18" spans="1:8" x14ac:dyDescent="0.45">
      <c r="A18">
        <v>1976</v>
      </c>
      <c r="B18">
        <v>8.5201793721973083</v>
      </c>
      <c r="C18">
        <v>67.433139124972016</v>
      </c>
      <c r="D18">
        <f t="shared" si="0"/>
        <v>1.3063287790584823</v>
      </c>
      <c r="E18">
        <f t="shared" si="1"/>
        <v>-4.6386906344066574</v>
      </c>
      <c r="F18">
        <v>0.29917171728505099</v>
      </c>
      <c r="G18">
        <v>-1.02808121969441</v>
      </c>
      <c r="H18" s="1">
        <f t="shared" si="2"/>
        <v>9.4230741325456133</v>
      </c>
    </row>
    <row r="19" spans="1:8" x14ac:dyDescent="0.45">
      <c r="A19">
        <v>1977</v>
      </c>
      <c r="B19">
        <v>9.165873771011734</v>
      </c>
      <c r="C19">
        <v>65.69422116852563</v>
      </c>
      <c r="D19">
        <f t="shared" si="0"/>
        <v>0.6456943988144257</v>
      </c>
      <c r="E19">
        <f t="shared" si="1"/>
        <v>-1.7389179564463859</v>
      </c>
      <c r="F19">
        <v>0.15146833736358001</v>
      </c>
      <c r="G19">
        <v>-0.57371032848108805</v>
      </c>
      <c r="H19" s="1">
        <f t="shared" si="2"/>
        <v>5.1873915405057511</v>
      </c>
    </row>
    <row r="20" spans="1:8" x14ac:dyDescent="0.45">
      <c r="A20">
        <v>1978</v>
      </c>
      <c r="B20">
        <v>9.6023278370514067</v>
      </c>
      <c r="C20">
        <v>66.067902475475179</v>
      </c>
      <c r="D20">
        <f t="shared" si="0"/>
        <v>0.43645406603967274</v>
      </c>
      <c r="E20">
        <f t="shared" si="1"/>
        <v>0.37368130694954971</v>
      </c>
      <c r="F20">
        <v>0.104686781126689</v>
      </c>
      <c r="G20">
        <v>-0.242683135491608</v>
      </c>
      <c r="H20" s="1">
        <f t="shared" si="2"/>
        <v>2.3807212762707932</v>
      </c>
    </row>
    <row r="21" spans="1:8" x14ac:dyDescent="0.45">
      <c r="A21">
        <v>1979</v>
      </c>
      <c r="B21">
        <v>11.879602945885367</v>
      </c>
      <c r="C21">
        <v>65.858420941056181</v>
      </c>
      <c r="D21">
        <f t="shared" si="0"/>
        <v>2.27727510883396</v>
      </c>
      <c r="E21">
        <f t="shared" si="1"/>
        <v>-0.20948153441899819</v>
      </c>
      <c r="F21">
        <v>0.51625405360449494</v>
      </c>
      <c r="G21">
        <v>-0.33406002920398697</v>
      </c>
      <c r="H21" s="1">
        <f t="shared" si="2"/>
        <v>4.9852961347118505</v>
      </c>
    </row>
    <row r="22" spans="1:8" x14ac:dyDescent="0.45">
      <c r="A22">
        <v>1980</v>
      </c>
      <c r="B22">
        <v>14.651539708265801</v>
      </c>
      <c r="C22">
        <v>66.455074591697382</v>
      </c>
      <c r="D22">
        <f t="shared" si="0"/>
        <v>2.7719367623804345</v>
      </c>
      <c r="E22">
        <f t="shared" si="1"/>
        <v>0.59665365064120124</v>
      </c>
      <c r="F22">
        <v>0.62684956645933798</v>
      </c>
      <c r="G22">
        <v>-0.20774517520670799</v>
      </c>
      <c r="H22" s="1">
        <f t="shared" si="2"/>
        <v>4.503884231916885</v>
      </c>
    </row>
    <row r="23" spans="1:8" x14ac:dyDescent="0.45">
      <c r="A23">
        <v>1981</v>
      </c>
      <c r="B23">
        <v>19.6066187948798</v>
      </c>
      <c r="C23">
        <v>63.653285002394099</v>
      </c>
      <c r="D23">
        <f t="shared" si="0"/>
        <v>4.9550790866139991</v>
      </c>
      <c r="E23">
        <f t="shared" si="1"/>
        <v>-2.8017895893032829</v>
      </c>
      <c r="F23">
        <v>1.1149523809875801</v>
      </c>
      <c r="G23">
        <v>-0.74025370437931903</v>
      </c>
      <c r="H23" s="1">
        <f t="shared" si="2"/>
        <v>10.913817934023061</v>
      </c>
    </row>
    <row r="24" spans="1:8" x14ac:dyDescent="0.45">
      <c r="A24">
        <v>1982</v>
      </c>
      <c r="B24">
        <v>16.700201207243463</v>
      </c>
      <c r="C24">
        <v>68.362452511513411</v>
      </c>
      <c r="D24">
        <f t="shared" si="0"/>
        <v>-2.9064175876363372</v>
      </c>
      <c r="E24">
        <f t="shared" si="1"/>
        <v>4.709167509119311</v>
      </c>
      <c r="F24">
        <v>-0.64270611407727596</v>
      </c>
      <c r="G24">
        <v>0.43665243601411702</v>
      </c>
      <c r="H24" s="1">
        <f t="shared" si="2"/>
        <v>-6.3690096376052328</v>
      </c>
    </row>
    <row r="25" spans="1:8" x14ac:dyDescent="0.45">
      <c r="A25">
        <v>1983</v>
      </c>
      <c r="B25">
        <v>25.482848083021043</v>
      </c>
      <c r="C25">
        <v>64.833208310483087</v>
      </c>
      <c r="D25">
        <f t="shared" si="0"/>
        <v>8.78264687577758</v>
      </c>
      <c r="E25">
        <f t="shared" si="1"/>
        <v>-3.5292442010303233</v>
      </c>
      <c r="F25">
        <v>1.9707127174596899</v>
      </c>
      <c r="G25">
        <v>-0.85423994988034802</v>
      </c>
      <c r="H25" s="1">
        <f t="shared" si="2"/>
        <v>15.734270180703103</v>
      </c>
    </row>
    <row r="26" spans="1:8" x14ac:dyDescent="0.45">
      <c r="A26">
        <v>1984</v>
      </c>
      <c r="B26">
        <v>23.496688741721854</v>
      </c>
      <c r="C26">
        <v>60.151236566337694</v>
      </c>
      <c r="D26">
        <f t="shared" si="0"/>
        <v>-1.9861593412991887</v>
      </c>
      <c r="E26">
        <f t="shared" si="1"/>
        <v>-4.6819717441453932</v>
      </c>
      <c r="F26">
        <v>-0.436956523081864</v>
      </c>
      <c r="G26">
        <v>-1.0348630190653101</v>
      </c>
      <c r="H26" s="1">
        <f t="shared" si="2"/>
        <v>6.0973469983356221</v>
      </c>
    </row>
    <row r="27" spans="1:8" x14ac:dyDescent="0.45">
      <c r="A27">
        <v>1985</v>
      </c>
      <c r="B27">
        <v>19.555912252541464</v>
      </c>
      <c r="C27">
        <v>74.432614072939316</v>
      </c>
      <c r="D27">
        <f t="shared" si="0"/>
        <v>-3.94077648918039</v>
      </c>
      <c r="E27">
        <f t="shared" si="1"/>
        <v>14.281377506601622</v>
      </c>
      <c r="F27">
        <v>-0.87396611257986301</v>
      </c>
      <c r="G27">
        <v>1.9365402106776299</v>
      </c>
      <c r="H27" s="1">
        <f t="shared" si="2"/>
        <v>-19.174614306347411</v>
      </c>
    </row>
    <row r="28" spans="1:8" x14ac:dyDescent="0.45">
      <c r="A28">
        <v>1986</v>
      </c>
      <c r="B28">
        <v>24.613259668508285</v>
      </c>
      <c r="C28">
        <v>79.504308344904601</v>
      </c>
      <c r="D28">
        <f t="shared" si="0"/>
        <v>5.0573474159668201</v>
      </c>
      <c r="E28">
        <f t="shared" si="1"/>
        <v>5.0716942719652849</v>
      </c>
      <c r="F28">
        <v>1.13781733974467</v>
      </c>
      <c r="G28">
        <v>0.49345744340062803</v>
      </c>
      <c r="H28" s="1">
        <f t="shared" si="2"/>
        <v>1.358809807601119</v>
      </c>
    </row>
    <row r="29" spans="1:8" x14ac:dyDescent="0.45">
      <c r="A29">
        <v>1987</v>
      </c>
      <c r="B29">
        <v>26.343109265507398</v>
      </c>
      <c r="C29">
        <v>82.564735323735647</v>
      </c>
      <c r="D29">
        <f t="shared" si="0"/>
        <v>1.729849596999113</v>
      </c>
      <c r="E29">
        <f t="shared" si="1"/>
        <v>3.0604269788310461</v>
      </c>
      <c r="F29">
        <v>0.39386169737011101</v>
      </c>
      <c r="G29">
        <v>0.17830814934668099</v>
      </c>
      <c r="H29" s="1">
        <f t="shared" si="2"/>
        <v>0.41167238154429764</v>
      </c>
    </row>
    <row r="30" spans="1:8" x14ac:dyDescent="0.45">
      <c r="A30">
        <v>1988</v>
      </c>
      <c r="B30">
        <v>16.687898089171973</v>
      </c>
      <c r="C30">
        <v>97.804511365442252</v>
      </c>
      <c r="D30">
        <f t="shared" si="0"/>
        <v>-9.655211176335424</v>
      </c>
      <c r="E30">
        <f t="shared" si="1"/>
        <v>15.239776041706605</v>
      </c>
      <c r="F30">
        <v>-2.1515885663346799</v>
      </c>
      <c r="G30">
        <v>2.0867134975416199</v>
      </c>
      <c r="H30" s="1">
        <f t="shared" si="2"/>
        <v>-26.214758205227064</v>
      </c>
    </row>
    <row r="31" spans="1:8" x14ac:dyDescent="0.45">
      <c r="A31">
        <v>1989</v>
      </c>
      <c r="B31">
        <v>15.256478053939714</v>
      </c>
      <c r="C31">
        <v>106.41970316924218</v>
      </c>
      <c r="D31">
        <f t="shared" si="0"/>
        <v>-1.431420035232259</v>
      </c>
      <c r="E31">
        <f t="shared" si="1"/>
        <v>8.6151918037999309</v>
      </c>
      <c r="F31">
        <v>-0.312928962676227</v>
      </c>
      <c r="G31">
        <v>1.04869480522636</v>
      </c>
      <c r="H31" s="1">
        <f t="shared" si="2"/>
        <v>-9.6476242636062803</v>
      </c>
    </row>
    <row r="32" spans="1:8" x14ac:dyDescent="0.45">
      <c r="A32">
        <v>1990</v>
      </c>
      <c r="B32">
        <v>15.364097092558016</v>
      </c>
      <c r="C32">
        <v>108.91305044414727</v>
      </c>
      <c r="D32">
        <f t="shared" si="0"/>
        <v>0.10761903861830113</v>
      </c>
      <c r="E32">
        <f t="shared" si="1"/>
        <v>2.4933472749050907</v>
      </c>
      <c r="F32">
        <v>3.11664703543852E-2</v>
      </c>
      <c r="G32">
        <v>8.9451352932838193E-2</v>
      </c>
      <c r="H32" s="1">
        <f t="shared" si="2"/>
        <v>-0.5573499945374949</v>
      </c>
    </row>
    <row r="33" spans="1:8" x14ac:dyDescent="0.45">
      <c r="A33">
        <v>1991</v>
      </c>
      <c r="B33">
        <v>16.971490048413127</v>
      </c>
      <c r="C33">
        <v>111.77512693619344</v>
      </c>
      <c r="D33">
        <f t="shared" si="0"/>
        <v>1.6073929558551114</v>
      </c>
      <c r="E33">
        <f t="shared" si="1"/>
        <v>2.862076492046171</v>
      </c>
      <c r="F33">
        <v>0.36648307416020398</v>
      </c>
      <c r="G33">
        <v>0.14722823462283199</v>
      </c>
      <c r="H33" s="1">
        <f t="shared" si="2"/>
        <v>0.52936023329856174</v>
      </c>
    </row>
    <row r="34" spans="1:8" x14ac:dyDescent="0.45">
      <c r="A34">
        <v>1992</v>
      </c>
      <c r="B34">
        <v>21.789473684210524</v>
      </c>
      <c r="C34">
        <v>102.5954827049963</v>
      </c>
      <c r="D34">
        <f t="shared" si="0"/>
        <v>4.8179836357973969</v>
      </c>
      <c r="E34">
        <f t="shared" si="1"/>
        <v>-9.1796442311971447</v>
      </c>
      <c r="F34">
        <v>1.08430084044172</v>
      </c>
      <c r="G34">
        <v>-1.7396118677624199</v>
      </c>
      <c r="H34" s="1">
        <f t="shared" si="2"/>
        <v>18.598101782207245</v>
      </c>
    </row>
    <row r="35" spans="1:8" x14ac:dyDescent="0.45">
      <c r="A35">
        <v>1993</v>
      </c>
      <c r="B35">
        <v>22.910521140609635</v>
      </c>
      <c r="C35">
        <v>101.59178136595442</v>
      </c>
      <c r="D35">
        <f t="shared" si="0"/>
        <v>1.1210474563991113</v>
      </c>
      <c r="E35">
        <f t="shared" si="1"/>
        <v>-1.0037013390418821</v>
      </c>
      <c r="F35">
        <v>0.25774687099802901</v>
      </c>
      <c r="G35">
        <v>-0.45850783966684699</v>
      </c>
      <c r="H35" s="1">
        <f t="shared" si="2"/>
        <v>4.773174522472365</v>
      </c>
    </row>
    <row r="36" spans="1:8" x14ac:dyDescent="0.45">
      <c r="A36">
        <v>1994</v>
      </c>
      <c r="B36">
        <v>21.656911301215668</v>
      </c>
      <c r="C36">
        <v>96.884845849516736</v>
      </c>
      <c r="D36">
        <f t="shared" si="0"/>
        <v>-1.2536098393939668</v>
      </c>
      <c r="E36">
        <f t="shared" si="1"/>
        <v>-4.7069355164376816</v>
      </c>
      <c r="F36">
        <v>-0.27317449677377298</v>
      </c>
      <c r="G36">
        <v>-1.03877463993744</v>
      </c>
      <c r="H36" s="1">
        <f t="shared" si="2"/>
        <v>6.8797344905185369</v>
      </c>
    </row>
    <row r="37" spans="1:8" x14ac:dyDescent="0.45">
      <c r="A37">
        <v>1995</v>
      </c>
      <c r="B37">
        <v>20.866913526464824</v>
      </c>
      <c r="C37">
        <v>100.59097200175076</v>
      </c>
      <c r="D37">
        <f t="shared" si="0"/>
        <v>-0.78999777475084443</v>
      </c>
      <c r="E37">
        <f t="shared" si="1"/>
        <v>3.7061261522340203</v>
      </c>
      <c r="F37">
        <v>-0.16952099205431001</v>
      </c>
      <c r="G37">
        <v>0.27948397975490102</v>
      </c>
      <c r="H37" s="1">
        <f t="shared" si="2"/>
        <v>-2.966460915010158</v>
      </c>
    </row>
    <row r="38" spans="1:8" x14ac:dyDescent="0.45">
      <c r="A38">
        <v>1996</v>
      </c>
      <c r="B38">
        <v>24.273858921161825</v>
      </c>
      <c r="C38">
        <v>82.760622638659243</v>
      </c>
      <c r="D38">
        <f t="shared" si="0"/>
        <v>3.4069453946970008</v>
      </c>
      <c r="E38">
        <f t="shared" si="1"/>
        <v>-17.830349363091514</v>
      </c>
      <c r="F38">
        <v>0.76882359053815197</v>
      </c>
      <c r="G38">
        <v>-3.0951072929411998</v>
      </c>
      <c r="H38" s="1">
        <f t="shared" si="2"/>
        <v>27.763590384299707</v>
      </c>
    </row>
    <row r="39" spans="1:8" x14ac:dyDescent="0.45">
      <c r="A39">
        <v>1997</v>
      </c>
      <c r="B39">
        <v>21.725490196078432</v>
      </c>
      <c r="C39">
        <v>86.872800639377232</v>
      </c>
      <c r="D39">
        <f t="shared" si="0"/>
        <v>-2.5483687250833924</v>
      </c>
      <c r="E39">
        <f t="shared" si="1"/>
        <v>4.1121780007179893</v>
      </c>
      <c r="F39">
        <v>-0.56265422933864095</v>
      </c>
      <c r="G39">
        <v>0.343109015575363</v>
      </c>
      <c r="H39" s="1">
        <f t="shared" si="2"/>
        <v>-5.2691265046194546</v>
      </c>
    </row>
    <row r="40" spans="1:8" x14ac:dyDescent="0.45">
      <c r="A40">
        <v>1998</v>
      </c>
      <c r="B40">
        <v>20.196238757154539</v>
      </c>
      <c r="C40">
        <v>90.829544615303675</v>
      </c>
      <c r="D40">
        <f t="shared" si="0"/>
        <v>-1.5292514389238931</v>
      </c>
      <c r="E40">
        <f t="shared" si="1"/>
        <v>3.9567439759264431</v>
      </c>
      <c r="F40">
        <v>-0.33480192216898402</v>
      </c>
      <c r="G40">
        <v>0.31875376283436702</v>
      </c>
      <c r="H40" s="1">
        <f t="shared" si="2"/>
        <v>-4.0325827857487306</v>
      </c>
    </row>
    <row r="41" spans="1:8" x14ac:dyDescent="0.45">
      <c r="A41">
        <v>1999</v>
      </c>
      <c r="B41">
        <v>18.133333333333333</v>
      </c>
      <c r="C41">
        <v>100.36660655487515</v>
      </c>
      <c r="D41">
        <f t="shared" si="0"/>
        <v>-2.0629054238212063</v>
      </c>
      <c r="E41">
        <f t="shared" si="1"/>
        <v>9.5370619395714726</v>
      </c>
      <c r="F41">
        <v>-0.45411526655330398</v>
      </c>
      <c r="G41">
        <v>1.19314438862135</v>
      </c>
      <c r="H41" s="1">
        <f t="shared" si="2"/>
        <v>-11.426709636384835</v>
      </c>
    </row>
    <row r="42" spans="1:8" x14ac:dyDescent="0.45">
      <c r="A42">
        <v>2000</v>
      </c>
      <c r="B42">
        <v>25.4337899543379</v>
      </c>
      <c r="C42">
        <v>104.30000090389002</v>
      </c>
      <c r="D42">
        <f t="shared" si="0"/>
        <v>7.3004566210045674</v>
      </c>
      <c r="E42">
        <f t="shared" si="1"/>
        <v>3.9333943490148755</v>
      </c>
      <c r="F42">
        <v>1.63932743540676</v>
      </c>
      <c r="G42">
        <v>0.31509506540957299</v>
      </c>
      <c r="H42" s="1">
        <f t="shared" si="2"/>
        <v>5.0573185663600722</v>
      </c>
    </row>
    <row r="43" spans="1:8" x14ac:dyDescent="0.45">
      <c r="A43">
        <v>2001</v>
      </c>
      <c r="B43">
        <v>18.514036786060021</v>
      </c>
      <c r="C43">
        <v>106.28743469055215</v>
      </c>
      <c r="D43">
        <f t="shared" si="0"/>
        <v>-6.9197531682778788</v>
      </c>
      <c r="E43">
        <f t="shared" si="1"/>
        <v>1.9874337866621232</v>
      </c>
      <c r="F43">
        <v>-1.5400000604279001</v>
      </c>
      <c r="G43">
        <v>1.0178807135232001E-2</v>
      </c>
      <c r="H43" s="1">
        <f t="shared" si="2"/>
        <v>-7.1483003372329286</v>
      </c>
    </row>
    <row r="44" spans="1:8" x14ac:dyDescent="0.45">
      <c r="A44">
        <v>2002</v>
      </c>
      <c r="B44">
        <v>16.219035202086047</v>
      </c>
      <c r="C44">
        <v>107.67676360479324</v>
      </c>
      <c r="D44">
        <f t="shared" si="0"/>
        <v>-2.2950015839739741</v>
      </c>
      <c r="E44">
        <f t="shared" si="1"/>
        <v>1.3893289142410907</v>
      </c>
      <c r="F44">
        <v>-0.50600688518022796</v>
      </c>
      <c r="G44">
        <v>-8.3539381964845894E-2</v>
      </c>
      <c r="H44" s="1">
        <f t="shared" si="2"/>
        <v>-1.6684582421925034</v>
      </c>
    </row>
    <row r="45" spans="1:8" x14ac:dyDescent="0.45">
      <c r="A45">
        <v>2003</v>
      </c>
      <c r="B45">
        <v>17.092561044860872</v>
      </c>
      <c r="C45">
        <v>109.40217325105175</v>
      </c>
      <c r="D45">
        <f t="shared" si="0"/>
        <v>0.87352584277482492</v>
      </c>
      <c r="E45">
        <f t="shared" si="1"/>
        <v>1.7254096462585125</v>
      </c>
      <c r="F45">
        <v>0.20240645888730299</v>
      </c>
      <c r="G45">
        <v>-3.08782534298363E-2</v>
      </c>
      <c r="H45" s="1">
        <f t="shared" si="2"/>
        <v>1.1708223706483389</v>
      </c>
    </row>
    <row r="46" spans="1:8" x14ac:dyDescent="0.45">
      <c r="A46">
        <v>2004</v>
      </c>
      <c r="B46">
        <v>21.021552996752288</v>
      </c>
      <c r="C46">
        <v>107.87804578751393</v>
      </c>
      <c r="D46">
        <f t="shared" si="0"/>
        <v>3.9289919518914154</v>
      </c>
      <c r="E46">
        <f t="shared" si="1"/>
        <v>-1.5241274635378232</v>
      </c>
      <c r="F46">
        <v>0.88554176821650199</v>
      </c>
      <c r="G46">
        <v>-0.54005439813364398</v>
      </c>
      <c r="H46" s="1">
        <f t="shared" si="2"/>
        <v>8.293262653500177</v>
      </c>
    </row>
    <row r="47" spans="1:8" x14ac:dyDescent="0.45">
      <c r="A47">
        <v>2005</v>
      </c>
      <c r="B47">
        <v>16.271389972981087</v>
      </c>
      <c r="C47">
        <v>105.97128993721677</v>
      </c>
      <c r="D47">
        <f t="shared" si="0"/>
        <v>-4.7501630237712007</v>
      </c>
      <c r="E47">
        <f t="shared" si="1"/>
        <v>-1.9067558502971593</v>
      </c>
      <c r="F47">
        <v>-1.05492721678765</v>
      </c>
      <c r="G47">
        <v>-0.60000916702616502</v>
      </c>
      <c r="H47" s="1">
        <f t="shared" si="2"/>
        <v>-0.14404414724044218</v>
      </c>
    </row>
    <row r="48" spans="1:8" x14ac:dyDescent="0.45">
      <c r="A48">
        <v>2006</v>
      </c>
      <c r="B48">
        <v>17.529266789895257</v>
      </c>
      <c r="C48">
        <v>93.594705299787378</v>
      </c>
      <c r="D48">
        <f t="shared" si="0"/>
        <v>1.2578768169141696</v>
      </c>
      <c r="E48">
        <f t="shared" si="1"/>
        <v>-12.376584637429389</v>
      </c>
      <c r="F48">
        <v>0.28833891964707897</v>
      </c>
      <c r="G48">
        <v>-2.2405465354395799</v>
      </c>
      <c r="H48" s="1">
        <f t="shared" si="2"/>
        <v>18.866955013672001</v>
      </c>
    </row>
    <row r="49" spans="1:8" x14ac:dyDescent="0.45">
      <c r="A49">
        <v>2007</v>
      </c>
      <c r="B49">
        <v>16.4079822616408</v>
      </c>
      <c r="C49">
        <v>98.969021875354429</v>
      </c>
      <c r="D49">
        <f t="shared" si="0"/>
        <v>-1.1212845282544563</v>
      </c>
      <c r="E49">
        <f t="shared" si="1"/>
        <v>5.3743165755670503</v>
      </c>
      <c r="F49">
        <v>-0.24358945506907101</v>
      </c>
      <c r="G49">
        <v>0.54087590727288803</v>
      </c>
      <c r="H49" s="1">
        <f t="shared" si="2"/>
        <v>-5.3531339527137494</v>
      </c>
    </row>
    <row r="50" spans="1:8" x14ac:dyDescent="0.45">
      <c r="A50">
        <v>2008</v>
      </c>
      <c r="B50">
        <v>11.51495657767771</v>
      </c>
      <c r="C50">
        <v>100.55005761404851</v>
      </c>
      <c r="D50">
        <f t="shared" si="0"/>
        <v>-4.8930256839630903</v>
      </c>
      <c r="E50">
        <f t="shared" si="1"/>
        <v>1.5810357386940836</v>
      </c>
      <c r="F50">
        <v>-1.08686817896793</v>
      </c>
      <c r="G50">
        <v>-5.3500475264405899E-2</v>
      </c>
      <c r="H50" s="1">
        <f t="shared" si="2"/>
        <v>-4.5698162201425001</v>
      </c>
    </row>
    <row r="51" spans="1:8" x14ac:dyDescent="0.45">
      <c r="A51">
        <v>2009</v>
      </c>
      <c r="B51">
        <v>15.569877883310721</v>
      </c>
      <c r="C51">
        <v>96.872697362584091</v>
      </c>
      <c r="D51">
        <f t="shared" si="0"/>
        <v>4.0549213056330107</v>
      </c>
      <c r="E51">
        <f t="shared" si="1"/>
        <v>-3.677360251464421</v>
      </c>
      <c r="F51">
        <v>0.91369681400314096</v>
      </c>
      <c r="G51">
        <v>-0.87744853521260002</v>
      </c>
      <c r="H51" s="1">
        <f t="shared" si="2"/>
        <v>11.064290406989075</v>
      </c>
    </row>
    <row r="52" spans="1:8" x14ac:dyDescent="0.45">
      <c r="A52">
        <v>2010</v>
      </c>
      <c r="B52">
        <v>14.234748483767392</v>
      </c>
      <c r="C52">
        <v>95.365149557544427</v>
      </c>
      <c r="D52">
        <f t="shared" si="0"/>
        <v>-1.3351293995433284</v>
      </c>
      <c r="E52">
        <f t="shared" si="1"/>
        <v>-1.507547805039664</v>
      </c>
      <c r="F52">
        <v>-0.29140048539007002</v>
      </c>
      <c r="G52">
        <v>-0.53745649985941202</v>
      </c>
      <c r="H52" s="1">
        <f t="shared" si="2"/>
        <v>2.8707561659587739</v>
      </c>
    </row>
    <row r="53" spans="1:8" x14ac:dyDescent="0.45">
      <c r="A53">
        <v>2011</v>
      </c>
      <c r="B53">
        <v>14.280442804428045</v>
      </c>
      <c r="C53">
        <v>98.545465862233371</v>
      </c>
      <c r="D53">
        <f t="shared" si="0"/>
        <v>4.5694320660652821E-2</v>
      </c>
      <c r="E53">
        <f t="shared" si="1"/>
        <v>3.1803163046889438</v>
      </c>
      <c r="F53">
        <v>1.73214595190667E-2</v>
      </c>
      <c r="G53">
        <v>0.197093835657498</v>
      </c>
      <c r="H53" s="1">
        <f t="shared" si="2"/>
        <v>-1.4637392340056929</v>
      </c>
    </row>
    <row r="54" spans="1:8" x14ac:dyDescent="0.45">
      <c r="A54">
        <v>2012</v>
      </c>
      <c r="B54">
        <v>12.831188493565481</v>
      </c>
      <c r="C54">
        <v>100.34298187810664</v>
      </c>
      <c r="D54">
        <f t="shared" si="0"/>
        <v>-1.449254310862564</v>
      </c>
      <c r="E54">
        <f t="shared" si="1"/>
        <v>1.7975160158732706</v>
      </c>
      <c r="F54">
        <v>-0.31691631623123301</v>
      </c>
      <c r="G54">
        <v>-1.9579769294295401E-2</v>
      </c>
      <c r="H54" s="1">
        <f t="shared" si="2"/>
        <v>-1.3013362979270267</v>
      </c>
    </row>
    <row r="55" spans="1:8" x14ac:dyDescent="0.45">
      <c r="A55">
        <v>2013</v>
      </c>
      <c r="B55">
        <v>15.669625627170976</v>
      </c>
      <c r="C55">
        <v>99.35669731784651</v>
      </c>
      <c r="D55">
        <f t="shared" si="0"/>
        <v>2.8384371336054954</v>
      </c>
      <c r="E55">
        <f t="shared" si="1"/>
        <v>-0.98628456026013112</v>
      </c>
      <c r="F55">
        <v>0.64171759332532596</v>
      </c>
      <c r="G55">
        <v>-0.45577877146907603</v>
      </c>
      <c r="H55" s="1">
        <f t="shared" si="2"/>
        <v>6.514231533966111</v>
      </c>
    </row>
    <row r="56" spans="1:8" x14ac:dyDescent="0.45">
      <c r="A56">
        <v>2014</v>
      </c>
      <c r="B56">
        <v>16.25</v>
      </c>
      <c r="C56">
        <v>106.86250704383946</v>
      </c>
      <c r="D56">
        <f t="shared" si="0"/>
        <v>0.5803743728290236</v>
      </c>
      <c r="E56">
        <f t="shared" si="1"/>
        <v>7.5058097259929468</v>
      </c>
      <c r="F56">
        <v>0.13686421001441301</v>
      </c>
      <c r="G56">
        <v>0.87486361931953605</v>
      </c>
      <c r="H56" s="1">
        <f t="shared" si="2"/>
        <v>-6.2219754153058107</v>
      </c>
    </row>
    <row r="57" spans="1:8" x14ac:dyDescent="0.45">
      <c r="A57">
        <v>2015</v>
      </c>
      <c r="B57">
        <v>17.871559633027523</v>
      </c>
      <c r="C57">
        <v>130.1160273805672</v>
      </c>
      <c r="D57">
        <f t="shared" si="0"/>
        <v>1.6215596330275233</v>
      </c>
      <c r="E57">
        <f t="shared" si="1"/>
        <v>23.253520336727746</v>
      </c>
      <c r="F57">
        <v>0.36965043289674998</v>
      </c>
      <c r="G57">
        <v>3.3424023200385902</v>
      </c>
      <c r="H57" s="1">
        <f t="shared" si="2"/>
        <v>-24.474314678906076</v>
      </c>
    </row>
    <row r="58" spans="1:8" x14ac:dyDescent="0.45">
      <c r="A58">
        <v>2016</v>
      </c>
      <c r="B58">
        <v>17.305545217714922</v>
      </c>
      <c r="C58">
        <v>136.40781866080195</v>
      </c>
      <c r="D58">
        <f t="shared" si="0"/>
        <v>-0.56601441531260122</v>
      </c>
      <c r="E58">
        <f t="shared" si="1"/>
        <v>6.2917912802347473</v>
      </c>
      <c r="F58">
        <v>-0.11944321784254799</v>
      </c>
      <c r="G58">
        <v>0.68463676207537005</v>
      </c>
      <c r="H58" s="1">
        <f t="shared" si="2"/>
        <v>-5.9089502169474422</v>
      </c>
    </row>
    <row r="59" spans="1:8" x14ac:dyDescent="0.45">
      <c r="A59">
        <v>2017</v>
      </c>
      <c r="B59">
        <v>20.925784238714616</v>
      </c>
      <c r="C59">
        <v>144.89135439858751</v>
      </c>
      <c r="D59">
        <f t="shared" si="0"/>
        <v>3.6202390209996942</v>
      </c>
      <c r="E59">
        <f t="shared" si="1"/>
        <v>8.4835357377855587</v>
      </c>
      <c r="F59">
        <v>0.81651137432546605</v>
      </c>
      <c r="G59">
        <v>1.02806536606518</v>
      </c>
      <c r="H59" s="1">
        <f t="shared" si="2"/>
        <v>-4.3019646081364691</v>
      </c>
    </row>
    <row r="60" spans="1:8" x14ac:dyDescent="0.45">
      <c r="A60">
        <v>2018</v>
      </c>
      <c r="B60">
        <v>21.94108761329305</v>
      </c>
      <c r="C60">
        <v>142.45541929211427</v>
      </c>
      <c r="D60">
        <f t="shared" ref="D60:D63" si="3">B60-B59</f>
        <v>1.0153033745784334</v>
      </c>
      <c r="E60">
        <f t="shared" ref="E60:E63" si="4">C60-C59</f>
        <v>-2.435935106473238</v>
      </c>
      <c r="F60">
        <v>0.23410481021035201</v>
      </c>
      <c r="G60">
        <v>-0.68292727022250299</v>
      </c>
      <c r="H60" s="1">
        <f t="shared" si="2"/>
        <v>6.4218616047077139</v>
      </c>
    </row>
    <row r="61" spans="1:8" x14ac:dyDescent="0.45">
      <c r="A61">
        <v>2019</v>
      </c>
      <c r="B61">
        <v>21.401657874905801</v>
      </c>
      <c r="C61">
        <v>144.9948209144915</v>
      </c>
      <c r="D61">
        <f t="shared" si="3"/>
        <v>-0.53942973838724839</v>
      </c>
      <c r="E61">
        <f t="shared" si="4"/>
        <v>2.5394016223772269</v>
      </c>
      <c r="F61">
        <v>-0.113499466251811</v>
      </c>
      <c r="G61">
        <v>9.66676960791122E-2</v>
      </c>
      <c r="H61" s="1">
        <f t="shared" si="2"/>
        <v>-1.2778706103952608</v>
      </c>
    </row>
    <row r="62" spans="1:8" x14ac:dyDescent="0.45">
      <c r="A62">
        <v>2020</v>
      </c>
      <c r="B62">
        <v>28.24879674194743</v>
      </c>
      <c r="C62">
        <v>146.86430889383095</v>
      </c>
      <c r="D62">
        <f t="shared" si="3"/>
        <v>6.8471388670416289</v>
      </c>
      <c r="E62">
        <f t="shared" si="4"/>
        <v>1.8694879793394534</v>
      </c>
      <c r="F62">
        <v>1.53797551296486</v>
      </c>
      <c r="G62">
        <v>-8.3023456469916903E-3</v>
      </c>
      <c r="H62" s="1">
        <f t="shared" si="2"/>
        <v>7.1243149709246527</v>
      </c>
    </row>
    <row r="63" spans="1:8" x14ac:dyDescent="0.45">
      <c r="A63">
        <v>2021</v>
      </c>
      <c r="B63">
        <v>13.084922010398614</v>
      </c>
      <c r="C63">
        <v>150.53412742978779</v>
      </c>
      <c r="D63">
        <f t="shared" si="3"/>
        <v>-15.163874731548816</v>
      </c>
      <c r="E63">
        <f t="shared" si="4"/>
        <v>3.6698185359568356</v>
      </c>
      <c r="F63">
        <v>-3.3832051009994601</v>
      </c>
      <c r="G63">
        <v>0.27379487041025702</v>
      </c>
      <c r="H63" s="1">
        <f t="shared" si="2"/>
        <v>-17.672725248899834</v>
      </c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2022-04-19T18:38:47Z</dcterms:modified>
</cp:coreProperties>
</file>